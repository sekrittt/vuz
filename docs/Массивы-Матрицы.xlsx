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krittt\Documents\vuz\docs\"/>
    </mc:Choice>
  </mc:AlternateContent>
  <xr:revisionPtr revIDLastSave="0" documentId="13_ncr:1_{38442BAA-7830-4E49-81C9-F49FC2AD7A42}" xr6:coauthVersionLast="47" xr6:coauthVersionMax="47" xr10:uidLastSave="{00000000-0000-0000-0000-000000000000}"/>
  <bookViews>
    <workbookView xWindow="-120" yWindow="-120" windowWidth="29040" windowHeight="15720" activeTab="5" xr2:uid="{85E61913-D7F1-4963-8213-13F5CD960F0A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</sheets>
  <definedNames>
    <definedName name="a">'5'!$A$2</definedName>
    <definedName name="b">'5'!$B$2</definedName>
    <definedName name="solver_adj" localSheetId="5" hidden="1">'6'!$B$4:$B$5</definedName>
    <definedName name="solver_cvg" localSheetId="5" hidden="1">0.1</definedName>
    <definedName name="solver_drv" localSheetId="5" hidden="1">2</definedName>
    <definedName name="solver_eng" localSheetId="5" hidden="1">1</definedName>
    <definedName name="solver_est" localSheetId="5" hidden="1">1</definedName>
    <definedName name="solver_itr" localSheetId="5" hidden="1">2147483647</definedName>
    <definedName name="solver_lhs1" localSheetId="5" hidden="1">'6'!$E$4:$E$5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2</definedName>
    <definedName name="solver_nod" localSheetId="5" hidden="1">2147483647</definedName>
    <definedName name="solver_num" localSheetId="5" hidden="1">1</definedName>
    <definedName name="solver_nwt" localSheetId="5" hidden="1">1</definedName>
    <definedName name="solver_opt" localSheetId="5" hidden="1">'6'!$E$4</definedName>
    <definedName name="solver_pre" localSheetId="5" hidden="1">0.000001</definedName>
    <definedName name="solver_rbv" localSheetId="5" hidden="1">2</definedName>
    <definedName name="solver_rel1" localSheetId="5" hidden="1">2</definedName>
    <definedName name="solver_rhs1" localSheetId="5" hidden="1">'6'!$F$4:$F$5</definedName>
    <definedName name="solver_rlx" localSheetId="5" hidden="1">2</definedName>
    <definedName name="solver_rsd" localSheetId="5" hidden="1">0</definedName>
    <definedName name="solver_scl" localSheetId="5" hidden="1">2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3</definedName>
    <definedName name="solver_val" localSheetId="5" hidden="1">0.2</definedName>
    <definedName name="solver_ver" localSheetId="5" hidden="1">3</definedName>
    <definedName name="x">'6'!$B$4</definedName>
    <definedName name="y">'6'!$B$5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5" l="1"/>
  <c r="E5" i="6"/>
  <c r="E4" i="6" a="1"/>
  <c r="E4" i="6" s="1"/>
  <c r="C17" i="4" a="1"/>
  <c r="C17" i="4" s="1"/>
  <c r="C15" i="4" a="1"/>
  <c r="C15" i="4" s="1"/>
  <c r="G16" i="3"/>
  <c r="G15" i="3"/>
  <c r="G14" i="3"/>
  <c r="G13" i="3"/>
  <c r="E14" i="3"/>
  <c r="D14" i="3"/>
  <c r="C14" i="3"/>
  <c r="B14" i="3"/>
  <c r="A14" i="3"/>
  <c r="G2" i="3" a="1"/>
  <c r="G2" i="3" s="1"/>
  <c r="A7" i="3" a="1"/>
  <c r="A7" i="3" s="1"/>
  <c r="C3" i="2"/>
  <c r="C4" i="2"/>
  <c r="C5" i="2"/>
  <c r="C6" i="2"/>
  <c r="C2" i="2"/>
  <c r="D2" i="2" a="1"/>
  <c r="D2" i="2" s="1"/>
  <c r="E7" i="1" a="1"/>
  <c r="E7" i="1"/>
  <c r="D7" i="1"/>
  <c r="D3" i="1"/>
  <c r="D4" i="1"/>
  <c r="D5" i="1"/>
  <c r="D6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<sst xmlns="http://schemas.openxmlformats.org/spreadsheetml/2006/main" count="43" uniqueCount="33">
  <si>
    <t>время продажи</t>
  </si>
  <si>
    <t>АКЦИИ РТС</t>
  </si>
  <si>
    <t>ЦЕНА</t>
  </si>
  <si>
    <t>x</t>
  </si>
  <si>
    <t>y</t>
  </si>
  <si>
    <t>f(x)</t>
  </si>
  <si>
    <t>Матрица А</t>
  </si>
  <si>
    <r>
      <t>Обратная матрица  А</t>
    </r>
    <r>
      <rPr>
        <vertAlign val="superscript"/>
        <sz val="10"/>
        <color theme="1"/>
        <rFont val="Arial"/>
        <family val="2"/>
        <charset val="204"/>
      </rPr>
      <t>-1</t>
    </r>
  </si>
  <si>
    <t>B</t>
  </si>
  <si>
    <t>X</t>
  </si>
  <si>
    <t>Метод Крамера</t>
  </si>
  <si>
    <t>Δ</t>
  </si>
  <si>
    <r>
      <t>Δ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</si>
  <si>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Δ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</si>
  <si>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t>Δ</t>
    </r>
    <r>
      <rPr>
        <vertAlign val="subscript"/>
        <sz val="11"/>
        <color theme="1"/>
        <rFont val="Calibri"/>
        <family val="2"/>
        <charset val="204"/>
        <scheme val="minor"/>
      </rPr>
      <t>3</t>
    </r>
  </si>
  <si>
    <r>
      <t>Δ</t>
    </r>
    <r>
      <rPr>
        <vertAlign val="subscript"/>
        <sz val="11"/>
        <color theme="1"/>
        <rFont val="Calibri"/>
        <family val="2"/>
        <charset val="204"/>
        <scheme val="minor"/>
      </rPr>
      <t>4</t>
    </r>
  </si>
  <si>
    <t>Аппаратура</t>
  </si>
  <si>
    <t>Акустические</t>
  </si>
  <si>
    <t>Студийное оборудование</t>
  </si>
  <si>
    <t>Европа</t>
  </si>
  <si>
    <t>США</t>
  </si>
  <si>
    <t>Аппаратура: итог</t>
  </si>
  <si>
    <t>Акустические: итог</t>
  </si>
  <si>
    <t>Студийное оборудование: итог</t>
  </si>
  <si>
    <t>a</t>
  </si>
  <si>
    <t>b</t>
  </si>
  <si>
    <t>c</t>
  </si>
  <si>
    <t>d</t>
  </si>
  <si>
    <t>x=</t>
  </si>
  <si>
    <t>y=</t>
  </si>
  <si>
    <t>ЛЧ</t>
  </si>
  <si>
    <t>ПЧ</t>
  </si>
  <si>
    <t>Переменые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</si>
</sst>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4"/>
      <color theme="1"/>
      <name val="Arial"/>
      <family val="2"/>
      <charset val="204"/>
    </font>
    <font>
      <sz val="14"/>
      <color theme="1"/>
      <name val="Calibri"/>
      <family val="2"/>
      <charset val="204"/>
      <scheme val="minor"/>
    </font>
    <font>
      <vertAlign val="superscript"/>
      <sz val="10"/>
      <color theme="1"/>
      <name val="Arial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'2'!$B$1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'2'!$B$2:$B$6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10-476E-85E5-D97CA99EAE7C}"/>
            </c:ext>
          </c:extLst>
        </c:ser>
        <c:ser>
          <c:idx val="1"/>
          <c:order val="1"/>
          <c:tx>
            <c:strRef>
              <c:f>'2'!$C$1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'2'!$C$2:$C$6</c:f>
              <c:numCache>
                <c:formatCode>General</c:formatCode>
                <c:ptCount val="5"/>
                <c:pt idx="0">
                  <c:v>2.7999999999999989</c:v>
                </c:pt>
                <c:pt idx="1">
                  <c:v>4.2999999999999989</c:v>
                </c:pt>
                <c:pt idx="2">
                  <c:v>5.8</c:v>
                </c:pt>
                <c:pt idx="3">
                  <c:v>7.3</c:v>
                </c:pt>
                <c:pt idx="4">
                  <c:v>8.8000000000000007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10-476E-85E5-D97CA99EA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301008"/>
        <c:axId val="1148296848"/>
      </c:scatterChart>
      <c:valAx>
        <c:axId val="1148301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2875568678915132"/>
              <c:y val="0.615369641294838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8296848"/>
        <c:crosses val="autoZero"/>
        <c:crossBetween val="midCat"/>
      </c:valAx>
      <c:valAx>
        <c:axId val="114829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11388888888888889"/>
              <c:y val="5.675123942840475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8301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14287</xdr:rowOff>
    </xdr:from>
    <xdr:to>
      <xdr:col>7</xdr:col>
      <xdr:colOff>304800</xdr:colOff>
      <xdr:row>21</xdr:row>
      <xdr:rowOff>90487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5B90584-67D8-4FFD-96A5-BE3C595B5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8</xdr:row>
          <xdr:rowOff>28574</xdr:rowOff>
        </xdr:from>
        <xdr:to>
          <xdr:col>4</xdr:col>
          <xdr:colOff>21630</xdr:colOff>
          <xdr:row>11</xdr:row>
          <xdr:rowOff>190499</xdr:rowOff>
        </xdr:to>
        <xdr:sp macro="" textlink="">
          <xdr:nvSpPr>
            <xdr:cNvPr id="6146" name="Object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CEE8E028-87A4-478F-ACB8-65CFF58650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openxmlformats.org/officeDocument/2006/relationships/image" Target="../media/image1.w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8828A-8278-42ED-B9A4-E71E6F9A2495}">
  <dimension ref="A1:E7"/>
  <sheetViews>
    <sheetView workbookViewId="0">
      <selection activeCell="D7" sqref="D7"/>
    </sheetView>
  </sheetViews>
  <sheetFormatPr defaultRowHeight="15" x14ac:dyDescent="0.25"/>
  <cols>
    <col min="1" max="1" width="18" customWidth="1"/>
    <col min="2" max="2" width="17.7109375" customWidth="1"/>
    <col min="3" max="3" width="9.140625" customWidth="1"/>
  </cols>
  <sheetData>
    <row r="1" spans="1:5" x14ac:dyDescent="0.25">
      <c r="A1" s="1" t="s">
        <v>0</v>
      </c>
      <c r="B1" s="1" t="s">
        <v>1</v>
      </c>
      <c r="C1" s="1" t="s">
        <v>2</v>
      </c>
    </row>
    <row r="2" spans="1:5" x14ac:dyDescent="0.25">
      <c r="A2" s="2">
        <v>0.3</v>
      </c>
      <c r="B2" s="1">
        <v>11</v>
      </c>
      <c r="C2" s="1">
        <v>50</v>
      </c>
      <c r="D2">
        <f>B2*C2</f>
        <v>550</v>
      </c>
    </row>
    <row r="3" spans="1:5" x14ac:dyDescent="0.25">
      <c r="A3" s="2">
        <v>0.34166666666666662</v>
      </c>
      <c r="B3" s="1">
        <v>22</v>
      </c>
      <c r="C3" s="1">
        <v>55</v>
      </c>
      <c r="D3">
        <f t="shared" ref="D3:D6" si="0">B3*C3</f>
        <v>1210</v>
      </c>
    </row>
    <row r="4" spans="1:5" x14ac:dyDescent="0.25">
      <c r="A4" s="2">
        <v>0.3833333333333333</v>
      </c>
      <c r="B4" s="1">
        <v>13</v>
      </c>
      <c r="C4" s="1">
        <v>40</v>
      </c>
      <c r="D4">
        <f t="shared" si="0"/>
        <v>520</v>
      </c>
    </row>
    <row r="5" spans="1:5" x14ac:dyDescent="0.25">
      <c r="A5" s="2">
        <v>0.42499999999999999</v>
      </c>
      <c r="B5" s="1">
        <v>45</v>
      </c>
      <c r="C5" s="1">
        <v>35</v>
      </c>
      <c r="D5">
        <f t="shared" si="0"/>
        <v>1575</v>
      </c>
    </row>
    <row r="6" spans="1:5" x14ac:dyDescent="0.25">
      <c r="A6" s="2">
        <v>0.46666666666666662</v>
      </c>
      <c r="B6" s="1">
        <v>15</v>
      </c>
      <c r="C6" s="1">
        <v>37</v>
      </c>
      <c r="D6">
        <f t="shared" si="0"/>
        <v>555</v>
      </c>
    </row>
    <row r="7" spans="1:5" x14ac:dyDescent="0.25">
      <c r="D7" s="4">
        <f>SUM(D2:D6)</f>
        <v>4410</v>
      </c>
      <c r="E7" s="5">
        <f t="array" ref="E7">SUM(B2:B6*C2:C6)</f>
        <v>4410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973D7-D5CD-4841-AC14-C82D18BE1409}">
  <dimension ref="A1:E6"/>
  <sheetViews>
    <sheetView workbookViewId="0">
      <selection activeCell="M13" sqref="M13"/>
    </sheetView>
  </sheetViews>
  <sheetFormatPr defaultRowHeight="15" x14ac:dyDescent="0.25"/>
  <sheetData>
    <row r="1" spans="1:5" ht="18" x14ac:dyDescent="0.25">
      <c r="A1" s="3" t="s">
        <v>3</v>
      </c>
      <c r="B1" s="3" t="s">
        <v>4</v>
      </c>
      <c r="C1" s="6" t="s">
        <v>5</v>
      </c>
    </row>
    <row r="2" spans="1:5" ht="18" x14ac:dyDescent="0.25">
      <c r="A2" s="3">
        <v>1</v>
      </c>
      <c r="B2" s="3">
        <v>3</v>
      </c>
      <c r="C2" s="6">
        <f>$D$2*A2+$E$2</f>
        <v>2.7999999999999989</v>
      </c>
      <c r="D2" s="6" cm="1">
        <f t="array" ref="D2:E2">LINEST(B2:B6,A2:A6)</f>
        <v>1.5000000000000002</v>
      </c>
      <c r="E2" s="6">
        <v>1.2999999999999989</v>
      </c>
    </row>
    <row r="3" spans="1:5" ht="18" x14ac:dyDescent="0.25">
      <c r="A3" s="3">
        <v>2</v>
      </c>
      <c r="B3" s="3">
        <v>4</v>
      </c>
      <c r="C3" s="6">
        <f t="shared" ref="C3:C6" si="0">$D$2*A3+$E$2</f>
        <v>4.2999999999999989</v>
      </c>
    </row>
    <row r="4" spans="1:5" ht="18" x14ac:dyDescent="0.25">
      <c r="A4" s="3">
        <v>3</v>
      </c>
      <c r="B4" s="3">
        <v>6</v>
      </c>
      <c r="C4" s="6">
        <f t="shared" si="0"/>
        <v>5.8</v>
      </c>
    </row>
    <row r="5" spans="1:5" ht="18" x14ac:dyDescent="0.25">
      <c r="A5" s="3">
        <v>4</v>
      </c>
      <c r="B5" s="3">
        <v>7</v>
      </c>
      <c r="C5" s="6">
        <f t="shared" si="0"/>
        <v>7.3</v>
      </c>
    </row>
    <row r="6" spans="1:5" ht="18" x14ac:dyDescent="0.25">
      <c r="A6" s="3">
        <v>5</v>
      </c>
      <c r="B6" s="3">
        <v>9</v>
      </c>
      <c r="C6" s="6">
        <f t="shared" si="0"/>
        <v>8.8000000000000007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86DB1-260B-46C0-8577-DA05D0DA8448}">
  <dimension ref="A1:M30"/>
  <sheetViews>
    <sheetView workbookViewId="0">
      <selection activeCell="G16" sqref="G16"/>
    </sheetView>
  </sheetViews>
  <sheetFormatPr defaultRowHeight="15" x14ac:dyDescent="0.25"/>
  <cols>
    <col min="1" max="1" width="10.5703125" customWidth="1"/>
    <col min="5" max="5" width="12.7109375" bestFit="1" customWidth="1"/>
    <col min="7" max="7" width="12.7109375" bestFit="1" customWidth="1"/>
  </cols>
  <sheetData>
    <row r="1" spans="1:13" x14ac:dyDescent="0.25">
      <c r="A1" s="12" t="s">
        <v>6</v>
      </c>
      <c r="B1" s="12"/>
      <c r="C1" s="12"/>
      <c r="D1" s="12"/>
      <c r="E1" s="7" t="s">
        <v>8</v>
      </c>
      <c r="G1" s="7" t="s">
        <v>9</v>
      </c>
    </row>
    <row r="2" spans="1:13" x14ac:dyDescent="0.25">
      <c r="A2">
        <v>6</v>
      </c>
      <c r="B2">
        <v>5</v>
      </c>
      <c r="C2">
        <v>-2</v>
      </c>
      <c r="D2">
        <v>4</v>
      </c>
      <c r="E2">
        <v>-4</v>
      </c>
      <c r="G2" cm="1">
        <f t="array" ref="G2:G5">MMULT(_xlfn.ANCHORARRAY(A7),E2:E5)</f>
        <v>0.66666666666666829</v>
      </c>
    </row>
    <row r="3" spans="1:13" x14ac:dyDescent="0.25">
      <c r="A3">
        <v>9</v>
      </c>
      <c r="B3">
        <v>-1</v>
      </c>
      <c r="C3">
        <v>4</v>
      </c>
      <c r="D3">
        <v>-1</v>
      </c>
      <c r="E3">
        <v>13</v>
      </c>
      <c r="G3">
        <v>-0.99999999999999956</v>
      </c>
    </row>
    <row r="4" spans="1:13" x14ac:dyDescent="0.25">
      <c r="A4">
        <v>3</v>
      </c>
      <c r="B4">
        <v>4</v>
      </c>
      <c r="C4">
        <v>2</v>
      </c>
      <c r="D4">
        <v>-2</v>
      </c>
      <c r="E4">
        <v>1</v>
      </c>
      <c r="G4">
        <v>1.4999999999999964</v>
      </c>
    </row>
    <row r="5" spans="1:13" x14ac:dyDescent="0.25">
      <c r="A5">
        <v>3</v>
      </c>
      <c r="B5">
        <v>-9</v>
      </c>
      <c r="C5">
        <v>0</v>
      </c>
      <c r="D5">
        <v>2</v>
      </c>
      <c r="E5">
        <v>11</v>
      </c>
      <c r="G5">
        <v>1.7763568394002505E-15</v>
      </c>
    </row>
    <row r="6" spans="1:13" x14ac:dyDescent="0.25">
      <c r="A6" s="13" t="s">
        <v>7</v>
      </c>
      <c r="B6" s="13"/>
      <c r="C6" s="13"/>
      <c r="D6" s="13"/>
    </row>
    <row r="7" spans="1:13" x14ac:dyDescent="0.25">
      <c r="A7" cm="1">
        <f t="array" ref="A7:D10">MINVERSE(A2:D5)</f>
        <v>8.3333333333333356E-2</v>
      </c>
      <c r="B7">
        <v>-0.33333333333333354</v>
      </c>
      <c r="C7">
        <v>0.75000000000000044</v>
      </c>
      <c r="D7">
        <v>0.41666666666666696</v>
      </c>
    </row>
    <row r="8" spans="1:13" x14ac:dyDescent="0.25">
      <c r="A8">
        <v>2.777777777777778E-2</v>
      </c>
      <c r="B8">
        <v>0.1111111111111111</v>
      </c>
      <c r="C8">
        <v>-0.19444444444444445</v>
      </c>
      <c r="D8">
        <v>-0.19444444444444442</v>
      </c>
    </row>
    <row r="9" spans="1:13" x14ac:dyDescent="0.25">
      <c r="A9">
        <v>-0.18055555555555561</v>
      </c>
      <c r="B9">
        <v>1.2777777777777783</v>
      </c>
      <c r="C9">
        <v>-2.236111111111112</v>
      </c>
      <c r="D9">
        <v>-1.2361111111111118</v>
      </c>
    </row>
    <row r="10" spans="1:13" x14ac:dyDescent="0.25">
      <c r="A10">
        <v>-4.0091387000352881E-17</v>
      </c>
      <c r="B10">
        <v>1.0000000000000002</v>
      </c>
      <c r="C10">
        <v>-2.0000000000000004</v>
      </c>
      <c r="D10">
        <v>-1.0000000000000002</v>
      </c>
    </row>
    <row r="11" spans="1:13" ht="18" x14ac:dyDescent="0.35">
      <c r="J11" s="11" t="s">
        <v>12</v>
      </c>
      <c r="K11" s="11"/>
      <c r="L11" s="11"/>
      <c r="M11" s="11"/>
    </row>
    <row r="12" spans="1:13" x14ac:dyDescent="0.25">
      <c r="A12" s="14" t="s">
        <v>10</v>
      </c>
      <c r="B12" s="14"/>
      <c r="C12" s="14"/>
      <c r="D12" s="14"/>
      <c r="E12" s="14"/>
      <c r="G12" s="7" t="s">
        <v>9</v>
      </c>
      <c r="J12">
        <v>-4</v>
      </c>
      <c r="K12">
        <v>5</v>
      </c>
      <c r="L12">
        <v>-2</v>
      </c>
      <c r="M12">
        <v>4</v>
      </c>
    </row>
    <row r="13" spans="1:13" ht="18" x14ac:dyDescent="0.35">
      <c r="A13" s="7" t="s">
        <v>11</v>
      </c>
      <c r="B13" s="7" t="s">
        <v>12</v>
      </c>
      <c r="C13" s="7" t="s">
        <v>13</v>
      </c>
      <c r="D13" s="7" t="s">
        <v>14</v>
      </c>
      <c r="E13" s="7" t="s">
        <v>15</v>
      </c>
      <c r="F13" s="8"/>
      <c r="G13">
        <f>B$14/A$14</f>
        <v>0.66666666666666696</v>
      </c>
      <c r="J13">
        <v>13</v>
      </c>
      <c r="K13">
        <v>-1</v>
      </c>
      <c r="L13">
        <v>4</v>
      </c>
      <c r="M13">
        <v>-1</v>
      </c>
    </row>
    <row r="14" spans="1:13" x14ac:dyDescent="0.25">
      <c r="A14">
        <f>MDETERM(A2:D5)</f>
        <v>215.99999999999994</v>
      </c>
      <c r="B14">
        <f>MDETERM(J12:M15)</f>
        <v>144.00000000000003</v>
      </c>
      <c r="C14">
        <f>MDETERM(J17:M20)</f>
        <v>-216</v>
      </c>
      <c r="D14">
        <f>MDETERM(J22:M25)</f>
        <v>323.99999999999972</v>
      </c>
      <c r="E14">
        <f>MDETERM(J27:M30)</f>
        <v>-1.1990408665951691E-13</v>
      </c>
      <c r="G14">
        <f>C14/A14</f>
        <v>-1.0000000000000002</v>
      </c>
      <c r="J14">
        <v>1</v>
      </c>
      <c r="K14">
        <v>4</v>
      </c>
      <c r="L14">
        <v>2</v>
      </c>
      <c r="M14">
        <v>-2</v>
      </c>
    </row>
    <row r="15" spans="1:13" x14ac:dyDescent="0.25">
      <c r="G15">
        <f>D14/A14</f>
        <v>1.4999999999999991</v>
      </c>
      <c r="J15">
        <v>11</v>
      </c>
      <c r="K15">
        <v>-9</v>
      </c>
      <c r="L15">
        <v>0</v>
      </c>
      <c r="M15">
        <v>2</v>
      </c>
    </row>
    <row r="16" spans="1:13" ht="18" x14ac:dyDescent="0.35">
      <c r="G16">
        <f>E14/A14</f>
        <v>-5.5511151231257837E-16</v>
      </c>
      <c r="J16" s="11" t="s">
        <v>13</v>
      </c>
      <c r="K16" s="11"/>
      <c r="L16" s="11"/>
      <c r="M16" s="11"/>
    </row>
    <row r="17" spans="10:13" x14ac:dyDescent="0.25">
      <c r="J17">
        <v>6</v>
      </c>
      <c r="K17">
        <v>-4</v>
      </c>
      <c r="L17">
        <v>-2</v>
      </c>
      <c r="M17">
        <v>4</v>
      </c>
    </row>
    <row r="18" spans="10:13" x14ac:dyDescent="0.25">
      <c r="J18">
        <v>9</v>
      </c>
      <c r="K18">
        <v>13</v>
      </c>
      <c r="L18">
        <v>4</v>
      </c>
      <c r="M18">
        <v>-1</v>
      </c>
    </row>
    <row r="19" spans="10:13" x14ac:dyDescent="0.25">
      <c r="J19">
        <v>3</v>
      </c>
      <c r="K19">
        <v>1</v>
      </c>
      <c r="L19">
        <v>2</v>
      </c>
      <c r="M19">
        <v>-2</v>
      </c>
    </row>
    <row r="20" spans="10:13" x14ac:dyDescent="0.25">
      <c r="J20">
        <v>3</v>
      </c>
      <c r="K20">
        <v>11</v>
      </c>
      <c r="L20">
        <v>0</v>
      </c>
      <c r="M20">
        <v>2</v>
      </c>
    </row>
    <row r="21" spans="10:13" ht="18" x14ac:dyDescent="0.35">
      <c r="J21" s="11" t="s">
        <v>14</v>
      </c>
      <c r="K21" s="11"/>
      <c r="L21" s="11"/>
      <c r="M21" s="11"/>
    </row>
    <row r="22" spans="10:13" x14ac:dyDescent="0.25">
      <c r="J22">
        <v>6</v>
      </c>
      <c r="K22">
        <v>5</v>
      </c>
      <c r="L22">
        <v>-4</v>
      </c>
      <c r="M22">
        <v>4</v>
      </c>
    </row>
    <row r="23" spans="10:13" x14ac:dyDescent="0.25">
      <c r="J23">
        <v>9</v>
      </c>
      <c r="K23">
        <v>-1</v>
      </c>
      <c r="L23">
        <v>13</v>
      </c>
      <c r="M23">
        <v>-1</v>
      </c>
    </row>
    <row r="24" spans="10:13" x14ac:dyDescent="0.25">
      <c r="J24">
        <v>3</v>
      </c>
      <c r="K24">
        <v>4</v>
      </c>
      <c r="L24">
        <v>1</v>
      </c>
      <c r="M24">
        <v>-2</v>
      </c>
    </row>
    <row r="25" spans="10:13" x14ac:dyDescent="0.25">
      <c r="J25">
        <v>3</v>
      </c>
      <c r="K25">
        <v>-9</v>
      </c>
      <c r="L25">
        <v>11</v>
      </c>
      <c r="M25">
        <v>2</v>
      </c>
    </row>
    <row r="26" spans="10:13" ht="18" x14ac:dyDescent="0.35">
      <c r="J26" s="11" t="s">
        <v>15</v>
      </c>
      <c r="K26" s="11"/>
      <c r="L26" s="11"/>
      <c r="M26" s="11"/>
    </row>
    <row r="27" spans="10:13" x14ac:dyDescent="0.25">
      <c r="J27">
        <v>6</v>
      </c>
      <c r="K27">
        <v>5</v>
      </c>
      <c r="L27">
        <v>-2</v>
      </c>
      <c r="M27">
        <v>-4</v>
      </c>
    </row>
    <row r="28" spans="10:13" x14ac:dyDescent="0.25">
      <c r="J28">
        <v>9</v>
      </c>
      <c r="K28">
        <v>-1</v>
      </c>
      <c r="L28">
        <v>4</v>
      </c>
      <c r="M28">
        <v>13</v>
      </c>
    </row>
    <row r="29" spans="10:13" x14ac:dyDescent="0.25">
      <c r="J29">
        <v>3</v>
      </c>
      <c r="K29">
        <v>4</v>
      </c>
      <c r="L29">
        <v>2</v>
      </c>
      <c r="M29">
        <v>1</v>
      </c>
    </row>
    <row r="30" spans="10:13" x14ac:dyDescent="0.25">
      <c r="J30">
        <v>3</v>
      </c>
      <c r="K30">
        <v>-9</v>
      </c>
      <c r="L30">
        <v>0</v>
      </c>
      <c r="M30">
        <v>11</v>
      </c>
    </row>
  </sheetData>
  <mergeCells count="7">
    <mergeCell ref="J21:M21"/>
    <mergeCell ref="J26:M26"/>
    <mergeCell ref="A1:D1"/>
    <mergeCell ref="A6:D6"/>
    <mergeCell ref="A12:E12"/>
    <mergeCell ref="J11:M11"/>
    <mergeCell ref="J16:M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E7668-61E1-4A1B-BB10-4BECEE563DCE}">
  <dimension ref="A1:C17"/>
  <sheetViews>
    <sheetView workbookViewId="0">
      <selection activeCell="C15" sqref="C15"/>
    </sheetView>
  </sheetViews>
  <sheetFormatPr defaultRowHeight="15" x14ac:dyDescent="0.25"/>
  <cols>
    <col min="1" max="1" width="33.42578125" customWidth="1"/>
    <col min="3" max="3" width="12.7109375" customWidth="1"/>
  </cols>
  <sheetData>
    <row r="1" spans="1:3" x14ac:dyDescent="0.25">
      <c r="B1">
        <v>1992</v>
      </c>
      <c r="C1">
        <v>1997</v>
      </c>
    </row>
    <row r="2" spans="1:3" ht="18.75" x14ac:dyDescent="0.3">
      <c r="A2" s="15" t="s">
        <v>16</v>
      </c>
      <c r="B2" s="15"/>
      <c r="C2" s="15"/>
    </row>
    <row r="3" spans="1:3" x14ac:dyDescent="0.25">
      <c r="A3" s="7" t="s">
        <v>19</v>
      </c>
      <c r="B3">
        <v>100600</v>
      </c>
      <c r="C3">
        <v>161000</v>
      </c>
    </row>
    <row r="4" spans="1:3" x14ac:dyDescent="0.25">
      <c r="A4" s="7" t="s">
        <v>20</v>
      </c>
      <c r="B4">
        <v>133100</v>
      </c>
      <c r="C4">
        <v>198200</v>
      </c>
    </row>
    <row r="5" spans="1:3" x14ac:dyDescent="0.25">
      <c r="A5" s="10" t="s">
        <v>21</v>
      </c>
      <c r="B5">
        <v>233700</v>
      </c>
      <c r="C5">
        <v>359200</v>
      </c>
    </row>
    <row r="6" spans="1:3" ht="18.75" x14ac:dyDescent="0.3">
      <c r="A6" s="15" t="s">
        <v>17</v>
      </c>
      <c r="B6" s="15"/>
      <c r="C6" s="15"/>
    </row>
    <row r="7" spans="1:3" x14ac:dyDescent="0.25">
      <c r="A7" s="7" t="s">
        <v>19</v>
      </c>
      <c r="B7">
        <v>129200</v>
      </c>
      <c r="C7">
        <v>160700</v>
      </c>
    </row>
    <row r="8" spans="1:3" x14ac:dyDescent="0.25">
      <c r="A8" s="7" t="s">
        <v>20</v>
      </c>
      <c r="B8">
        <v>150500</v>
      </c>
      <c r="C8">
        <v>190100</v>
      </c>
    </row>
    <row r="9" spans="1:3" x14ac:dyDescent="0.25">
      <c r="A9" s="10" t="s">
        <v>22</v>
      </c>
      <c r="B9">
        <v>279700</v>
      </c>
      <c r="C9">
        <v>350800</v>
      </c>
    </row>
    <row r="10" spans="1:3" ht="18.75" x14ac:dyDescent="0.3">
      <c r="A10" s="15" t="s">
        <v>18</v>
      </c>
      <c r="B10" s="15"/>
      <c r="C10" s="15"/>
    </row>
    <row r="11" spans="1:3" x14ac:dyDescent="0.25">
      <c r="A11" s="7" t="s">
        <v>19</v>
      </c>
      <c r="B11">
        <v>89900</v>
      </c>
      <c r="C11">
        <v>153900</v>
      </c>
    </row>
    <row r="12" spans="1:3" x14ac:dyDescent="0.25">
      <c r="A12" s="7" t="s">
        <v>20</v>
      </c>
      <c r="B12">
        <v>112300</v>
      </c>
      <c r="C12">
        <v>190700</v>
      </c>
    </row>
    <row r="13" spans="1:3" x14ac:dyDescent="0.25">
      <c r="A13" s="10" t="s">
        <v>23</v>
      </c>
      <c r="B13">
        <v>202200</v>
      </c>
      <c r="C13">
        <v>344600</v>
      </c>
    </row>
    <row r="15" spans="1:3" x14ac:dyDescent="0.25">
      <c r="C15" cm="1">
        <f t="array" ref="C15">AVERAGE(IF(A3:A14="Европа",B3:B14))</f>
        <v>106566.66666666667</v>
      </c>
    </row>
    <row r="17" spans="3:3" x14ac:dyDescent="0.25">
      <c r="C17" cm="1">
        <f t="array" ref="C17">SUM(IF(A3:A13="США",C3:C13))</f>
        <v>579000</v>
      </c>
    </row>
  </sheetData>
  <mergeCells count="3">
    <mergeCell ref="A2:C2"/>
    <mergeCell ref="A6:C6"/>
    <mergeCell ref="A10:C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82CD5-E1F4-4253-9AEB-B41545BD1580}">
  <dimension ref="A1:E4"/>
  <sheetViews>
    <sheetView workbookViewId="0">
      <selection activeCell="C4" sqref="C4"/>
    </sheetView>
  </sheetViews>
  <sheetFormatPr defaultRowHeight="15" x14ac:dyDescent="0.25"/>
  <cols>
    <col min="1" max="1" width="9" customWidth="1"/>
    <col min="5" max="5" width="27.42578125" customWidth="1"/>
  </cols>
  <sheetData>
    <row r="1" spans="1:5" x14ac:dyDescent="0.25">
      <c r="A1" t="s">
        <v>24</v>
      </c>
      <c r="B1" t="s">
        <v>25</v>
      </c>
      <c r="C1" t="s">
        <v>26</v>
      </c>
      <c r="D1" t="s">
        <v>27</v>
      </c>
      <c r="E1" t="s">
        <v>9</v>
      </c>
    </row>
    <row r="2" spans="1:5" x14ac:dyDescent="0.25">
      <c r="A2">
        <v>-1</v>
      </c>
      <c r="B2">
        <v>7</v>
      </c>
      <c r="C2">
        <v>8</v>
      </c>
      <c r="D2">
        <v>0</v>
      </c>
      <c r="E2">
        <v>-0.99999770977547242</v>
      </c>
    </row>
    <row r="4" spans="1:5" x14ac:dyDescent="0.25">
      <c r="C4">
        <f>a*E2^2+b*E2+C2</f>
        <v>2.0612015503296277E-5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3FBB-C0CB-4F82-961A-12609A006F5A}">
  <dimension ref="A3:F5"/>
  <sheetViews>
    <sheetView tabSelected="1" workbookViewId="0">
      <selection activeCell="B5" sqref="B5"/>
    </sheetView>
  </sheetViews>
  <sheetFormatPr defaultRowHeight="15" x14ac:dyDescent="0.25"/>
  <cols>
    <col min="1" max="1" width="9.140625" customWidth="1"/>
  </cols>
  <sheetData>
    <row r="3" spans="1:6" x14ac:dyDescent="0.25">
      <c r="A3" s="11" t="s">
        <v>32</v>
      </c>
      <c r="B3" s="11"/>
      <c r="E3" s="9" t="s">
        <v>30</v>
      </c>
      <c r="F3" s="9" t="s">
        <v>31</v>
      </c>
    </row>
    <row r="4" spans="1:6" x14ac:dyDescent="0.25">
      <c r="A4" t="s">
        <v>28</v>
      </c>
      <c r="B4">
        <v>-0.23473961193760562</v>
      </c>
      <c r="E4" cm="1">
        <f t="array" ref="E4">SIN(2*x+y)+1.2*x</f>
        <v>0.20000006288923605</v>
      </c>
      <c r="F4">
        <v>0.2</v>
      </c>
    </row>
    <row r="5" spans="1:6" x14ac:dyDescent="0.25">
      <c r="A5" t="s">
        <v>29</v>
      </c>
      <c r="B5">
        <v>0.97205864617385229</v>
      </c>
      <c r="E5">
        <f>x^2+y^2</f>
        <v>1.0000006970139603</v>
      </c>
      <c r="F5">
        <v>1</v>
      </c>
    </row>
  </sheetData>
  <mergeCells count="1">
    <mergeCell ref="A3:B3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6146" r:id="rId3">
          <objectPr defaultSize="0" autoPict="0" r:id="rId4">
            <anchor moveWithCells="1" sizeWithCells="1">
              <from>
                <xdr:col>0</xdr:col>
                <xdr:colOff>0</xdr:colOff>
                <xdr:row>8</xdr:row>
                <xdr:rowOff>28575</xdr:rowOff>
              </from>
              <to>
                <xdr:col>4</xdr:col>
                <xdr:colOff>19050</xdr:colOff>
                <xdr:row>11</xdr:row>
                <xdr:rowOff>190500</xdr:rowOff>
              </to>
            </anchor>
          </objectPr>
        </oleObject>
      </mc:Choice>
      <mc:Fallback>
        <oleObject progId="Equation.3" shapeId="6146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4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6</vt:lpstr>
      <vt:lpstr>a</vt:lpstr>
      <vt:lpstr>b</vt:lpstr>
      <vt:lpstr>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sekrittt</dc:creator>
  <cp:lastModifiedBy>sekrittt</cp:lastModifiedBy>
  <dcterms:created xsi:type="dcterms:W3CDTF">2023-09-25T03:15:52Z</dcterms:created>
  <dcterms:modified xsi:type="dcterms:W3CDTF">2023-10-02T03:29:57Z</dcterms:modified>
</cp:coreProperties>
</file>