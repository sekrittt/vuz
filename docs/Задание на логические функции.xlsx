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303D16F6-D6A4-4A9F-92C8-4CAEE494FB90}" xr6:coauthVersionLast="47" xr6:coauthVersionMax="47" xr10:uidLastSave="{00000000-0000-0000-0000-000000000000}"/>
  <bookViews>
    <workbookView xWindow="-120" yWindow="-120" windowWidth="29040" windowHeight="15720" activeTab="1" xr2:uid="{AF24C1CB-0986-4EC7-A5A3-3A3A4AE6BB28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  <c r="D5" i="3"/>
  <c r="E5" i="3" s="1"/>
  <c r="D7" i="3"/>
  <c r="E7" i="3" s="1"/>
  <c r="D8" i="3"/>
  <c r="E8" i="3" s="1"/>
  <c r="D4" i="3"/>
  <c r="E4" i="3" s="1"/>
  <c r="D6" i="3"/>
  <c r="E6" i="3" s="1"/>
  <c r="D9" i="3"/>
  <c r="E9" i="3" s="1"/>
  <c r="D2" i="3"/>
  <c r="E2" i="3" s="1"/>
  <c r="D3" i="3"/>
  <c r="E3" i="3" s="1"/>
  <c r="B13" i="3"/>
  <c r="D5" i="1"/>
  <c r="D2" i="1"/>
  <c r="D6" i="1"/>
  <c r="D9" i="1"/>
  <c r="D4" i="1"/>
  <c r="D3" i="1"/>
  <c r="D7" i="1"/>
  <c r="D8" i="1"/>
  <c r="G5" i="1"/>
  <c r="G2" i="1"/>
  <c r="B11" i="1" s="1"/>
  <c r="G6" i="1"/>
  <c r="G9" i="1"/>
  <c r="G4" i="1"/>
  <c r="G3" i="1"/>
  <c r="G7" i="1"/>
  <c r="G8" i="1"/>
  <c r="F5" i="1"/>
  <c r="F2" i="1"/>
  <c r="F6" i="1"/>
  <c r="F9" i="1"/>
  <c r="F4" i="1"/>
  <c r="F3" i="1"/>
  <c r="F7" i="1"/>
  <c r="F8" i="1"/>
  <c r="E5" i="1"/>
  <c r="E2" i="1"/>
  <c r="E6" i="1"/>
  <c r="E9" i="1"/>
  <c r="E4" i="1"/>
  <c r="E3" i="1"/>
  <c r="E7" i="1"/>
  <c r="E8" i="1"/>
</calcChain>
</file>

<file path=xl/sharedStrings.xml><?xml version="1.0" encoding="utf-8"?>
<sst xmlns="http://schemas.openxmlformats.org/spreadsheetml/2006/main" count="47" uniqueCount="47">
  <si>
    <t>Абитуриент</t>
  </si>
  <si>
    <t>Математика</t>
  </si>
  <si>
    <t>Физика</t>
  </si>
  <si>
    <t>Абитуриент 1</t>
  </si>
  <si>
    <t>Абитуриент 2</t>
  </si>
  <si>
    <t>Абитуриент 3</t>
  </si>
  <si>
    <t>Абитуриент 4</t>
  </si>
  <si>
    <t>Абитуриент 5</t>
  </si>
  <si>
    <t>Абитуриент 6</t>
  </si>
  <si>
    <t>Абитуриент 7</t>
  </si>
  <si>
    <t>Абитуриент 8</t>
  </si>
  <si>
    <t>1(2)</t>
  </si>
  <si>
    <t>1(1)</t>
  </si>
  <si>
    <t>1(3)</t>
  </si>
  <si>
    <t>Проходной балл</t>
  </si>
  <si>
    <t>Зачисленных</t>
  </si>
  <si>
    <t>Сумма баллов</t>
  </si>
  <si>
    <t>Потраченные минуты</t>
  </si>
  <si>
    <t>Абонент 1</t>
  </si>
  <si>
    <t>Абонент</t>
  </si>
  <si>
    <t>Абонент 2</t>
  </si>
  <si>
    <t>Абонент 3</t>
  </si>
  <si>
    <t>Абонент 4</t>
  </si>
  <si>
    <t>Абонент 5</t>
  </si>
  <si>
    <t>Абонент 6</t>
  </si>
  <si>
    <t>Абонент 7</t>
  </si>
  <si>
    <t>Абонент 8</t>
  </si>
  <si>
    <t>Цена одной минуты (рубли)</t>
  </si>
  <si>
    <t>Абонентская плата (рубли)</t>
  </si>
  <si>
    <t>Бесплатные минуты (минуты)</t>
  </si>
  <si>
    <t>Стоимость услуг</t>
  </si>
  <si>
    <t>Студент</t>
  </si>
  <si>
    <t>Студент 1</t>
  </si>
  <si>
    <t>Студент 2</t>
  </si>
  <si>
    <t>Студент 3</t>
  </si>
  <si>
    <t>Студент 4</t>
  </si>
  <si>
    <t>Студент 5</t>
  </si>
  <si>
    <t>Студент 6</t>
  </si>
  <si>
    <t>Студент 7</t>
  </si>
  <si>
    <t>Студент 8</t>
  </si>
  <si>
    <t>Мат. Анализ</t>
  </si>
  <si>
    <t>История России</t>
  </si>
  <si>
    <t>Макс балл за Мат. Анализ</t>
  </si>
  <si>
    <t>Макс балл за Историю России</t>
  </si>
  <si>
    <t>Макс балл</t>
  </si>
  <si>
    <t>Оценка</t>
  </si>
  <si>
    <t>Процент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</si>
</sst>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0DC5-C727-4C32-BA47-D843165701A1}">
  <dimension ref="A1:G11"/>
  <sheetViews>
    <sheetView workbookViewId="0">
      <selection activeCell="B11" sqref="B11"/>
    </sheetView>
  </sheetViews>
  <sheetFormatPr defaultRowHeight="15" x14ac:dyDescent="0.25"/>
  <cols>
    <col min="1" max="1" width="18" customWidth="1"/>
    <col min="2" max="2" width="18.28515625" customWidth="1"/>
    <col min="3" max="3" width="18.5703125" customWidth="1"/>
    <col min="4" max="4" width="26" customWidth="1"/>
    <col min="5" max="5" width="17" customWidth="1"/>
    <col min="6" max="6" width="18.28515625" customWidth="1"/>
    <col min="7" max="7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16</v>
      </c>
      <c r="E1" s="1" t="s">
        <v>12</v>
      </c>
      <c r="F1" s="1" t="s">
        <v>11</v>
      </c>
      <c r="G1" t="s">
        <v>13</v>
      </c>
    </row>
    <row r="2" spans="1:7" x14ac:dyDescent="0.25">
      <c r="A2" t="s">
        <v>5</v>
      </c>
      <c r="B2">
        <v>2</v>
      </c>
      <c r="C2">
        <v>2</v>
      </c>
      <c r="D2">
        <f>B2+C2</f>
        <v>4</v>
      </c>
      <c r="E2" t="b">
        <f>AND(B2&lt;&gt;2,C2&lt;&gt;2)</f>
        <v>0</v>
      </c>
      <c r="F2" t="b">
        <f>OR(B2 = 5, C2 = 5)</f>
        <v>0</v>
      </c>
      <c r="G2" t="str">
        <f>IF(B2 + C2 &gt;= $B$10, "зачислен", "не зачислен")</f>
        <v>не зачислен</v>
      </c>
    </row>
    <row r="3" spans="1:7" x14ac:dyDescent="0.25">
      <c r="A3" t="s">
        <v>9</v>
      </c>
      <c r="B3">
        <v>2</v>
      </c>
      <c r="C3">
        <v>2</v>
      </c>
      <c r="D3">
        <f>B3+C3</f>
        <v>4</v>
      </c>
      <c r="E3" t="b">
        <f>AND(B3&lt;&gt;2,C3&lt;&gt;2)</f>
        <v>0</v>
      </c>
      <c r="F3" t="b">
        <f>OR(B3 = 5, C3 = 5)</f>
        <v>0</v>
      </c>
      <c r="G3" t="str">
        <f>IF(B3 + C3 &gt;= $B$10, "зачислен", "не зачислен")</f>
        <v>не зачислен</v>
      </c>
    </row>
    <row r="4" spans="1:7" x14ac:dyDescent="0.25">
      <c r="A4" t="s">
        <v>8</v>
      </c>
      <c r="B4">
        <v>2</v>
      </c>
      <c r="C4">
        <v>4</v>
      </c>
      <c r="D4">
        <f>B4+C4</f>
        <v>6</v>
      </c>
      <c r="E4" t="b">
        <f>AND(B4&lt;&gt;2,C4&lt;&gt;2)</f>
        <v>0</v>
      </c>
      <c r="F4" t="b">
        <f>OR(B4 = 5, C4 = 5)</f>
        <v>0</v>
      </c>
      <c r="G4" t="str">
        <f>IF(B4 + C4 &gt;= $B$10, "зачислен", "не зачислен")</f>
        <v>не зачислен</v>
      </c>
    </row>
    <row r="5" spans="1:7" x14ac:dyDescent="0.25">
      <c r="A5" t="s">
        <v>4</v>
      </c>
      <c r="B5">
        <v>4</v>
      </c>
      <c r="C5">
        <v>3</v>
      </c>
      <c r="D5">
        <f>B5+C5</f>
        <v>7</v>
      </c>
      <c r="E5" t="b">
        <f>AND(B5&lt;&gt;2,C5&lt;&gt;2)</f>
        <v>1</v>
      </c>
      <c r="F5" t="b">
        <f>OR(B5 = 5, C5 = 5)</f>
        <v>0</v>
      </c>
      <c r="G5" t="str">
        <f>IF(B5 + C5 &gt;= $B$10, "зачислен", "не зачислен")</f>
        <v>не зачислен</v>
      </c>
    </row>
    <row r="6" spans="1:7" x14ac:dyDescent="0.25">
      <c r="A6" t="s">
        <v>6</v>
      </c>
      <c r="B6">
        <v>3</v>
      </c>
      <c r="C6">
        <v>4</v>
      </c>
      <c r="D6">
        <f>B6+C6</f>
        <v>7</v>
      </c>
      <c r="E6" t="b">
        <f>AND(B6&lt;&gt;2,C6&lt;&gt;2)</f>
        <v>1</v>
      </c>
      <c r="F6" t="b">
        <f>OR(B6 = 5, C6 = 5)</f>
        <v>0</v>
      </c>
      <c r="G6" t="str">
        <f>IF(B6 + C6 &gt;= $B$10, "зачислен", "не зачислен")</f>
        <v>не зачислен</v>
      </c>
    </row>
    <row r="7" spans="1:7" x14ac:dyDescent="0.25">
      <c r="A7" t="s">
        <v>10</v>
      </c>
      <c r="B7">
        <v>2</v>
      </c>
      <c r="C7">
        <v>5</v>
      </c>
      <c r="D7">
        <f>B7+C7</f>
        <v>7</v>
      </c>
      <c r="E7" t="b">
        <f>AND(B7&lt;&gt;2,C7&lt;&gt;2)</f>
        <v>0</v>
      </c>
      <c r="F7" t="b">
        <f>OR(B7 = 5, C7 = 5)</f>
        <v>1</v>
      </c>
      <c r="G7" t="str">
        <f>IF(B7 + C7 &gt;= $B$10, "зачислен", "не зачислен")</f>
        <v>не зачислен</v>
      </c>
    </row>
    <row r="8" spans="1:7" x14ac:dyDescent="0.25">
      <c r="A8" t="s">
        <v>3</v>
      </c>
      <c r="B8">
        <v>3</v>
      </c>
      <c r="C8">
        <v>5</v>
      </c>
      <c r="D8">
        <f>B8+C8</f>
        <v>8</v>
      </c>
      <c r="E8" t="b">
        <f>AND(B8&lt;&gt;2,C8&lt;&gt;2)</f>
        <v>1</v>
      </c>
      <c r="F8" t="b">
        <f>OR(B8 = 5, C8 = 5)</f>
        <v>1</v>
      </c>
      <c r="G8" t="str">
        <f>IF(B8 + C8 &gt;= $B$10, "зачислен", "не зачислен")</f>
        <v>зачислен</v>
      </c>
    </row>
    <row r="9" spans="1:7" x14ac:dyDescent="0.25">
      <c r="A9" t="s">
        <v>7</v>
      </c>
      <c r="B9">
        <v>5</v>
      </c>
      <c r="C9">
        <v>3</v>
      </c>
      <c r="D9">
        <f>B9+C9</f>
        <v>8</v>
      </c>
      <c r="E9" t="b">
        <f>AND(B9&lt;&gt;2,C9&lt;&gt;2)</f>
        <v>1</v>
      </c>
      <c r="F9" t="b">
        <f>OR(B9 = 5, C9 = 5)</f>
        <v>1</v>
      </c>
      <c r="G9" t="str">
        <f>IF(B9 + C9 &gt;= $B$10, "зачислен", "не зачислен")</f>
        <v>зачислен</v>
      </c>
    </row>
    <row r="10" spans="1:7" x14ac:dyDescent="0.25">
      <c r="A10" t="s">
        <v>14</v>
      </c>
      <c r="B10">
        <v>8</v>
      </c>
    </row>
    <row r="11" spans="1:7" x14ac:dyDescent="0.25">
      <c r="A11" t="s">
        <v>15</v>
      </c>
      <c r="B11">
        <f>COUNTIF(G2:G9, "зачислен")</f>
        <v>2</v>
      </c>
    </row>
  </sheetData>
  <sortState xmlns:xlrd2="http://schemas.microsoft.com/office/spreadsheetml/2017/richdata2" ref="A2:G11">
    <sortCondition ref="D1:D11"/>
  </sortState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F400-BD84-4853-83B3-F2AE1D2118F0}">
  <dimension ref="A1:C13"/>
  <sheetViews>
    <sheetView tabSelected="1" workbookViewId="0">
      <selection activeCell="N8" sqref="N8"/>
    </sheetView>
  </sheetViews>
  <sheetFormatPr defaultRowHeight="15" x14ac:dyDescent="0.25"/>
  <cols>
    <col min="1" max="1" width="29.42578125" customWidth="1"/>
    <col min="2" max="2" width="27.5703125" customWidth="1"/>
    <col min="3" max="3" width="20.7109375" customWidth="1"/>
  </cols>
  <sheetData>
    <row r="1" spans="1:3" x14ac:dyDescent="0.25">
      <c r="A1" t="s">
        <v>19</v>
      </c>
      <c r="B1" t="s">
        <v>17</v>
      </c>
      <c r="C1" t="s">
        <v>30</v>
      </c>
    </row>
    <row r="2" spans="1:3" x14ac:dyDescent="0.25">
      <c r="A2" t="s">
        <v>18</v>
      </c>
      <c r="B2">
        <v>702</v>
      </c>
      <c r="C2">
        <f>IF(B2 &lt; $B$12,0,(B2 -B$12)*B$13)+B$11</f>
        <v>1354</v>
      </c>
    </row>
    <row r="3" spans="1:3" x14ac:dyDescent="0.25">
      <c r="A3" t="s">
        <v>20</v>
      </c>
      <c r="B3">
        <v>324</v>
      </c>
      <c r="C3">
        <f t="shared" ref="C3:C9" si="0">IF(B3 &lt; $B$12,0,(B3 -B$12)*B$13)+B$11</f>
        <v>598</v>
      </c>
    </row>
    <row r="4" spans="1:3" x14ac:dyDescent="0.25">
      <c r="A4" t="s">
        <v>21</v>
      </c>
      <c r="B4">
        <v>896</v>
      </c>
      <c r="C4">
        <f t="shared" si="0"/>
        <v>1742</v>
      </c>
    </row>
    <row r="5" spans="1:3" x14ac:dyDescent="0.25">
      <c r="A5" t="s">
        <v>22</v>
      </c>
      <c r="B5">
        <v>433</v>
      </c>
      <c r="C5">
        <f t="shared" si="0"/>
        <v>816</v>
      </c>
    </row>
    <row r="6" spans="1:3" x14ac:dyDescent="0.25">
      <c r="A6" t="s">
        <v>23</v>
      </c>
      <c r="B6">
        <v>1</v>
      </c>
      <c r="C6">
        <f t="shared" si="0"/>
        <v>150</v>
      </c>
    </row>
    <row r="7" spans="1:3" x14ac:dyDescent="0.25">
      <c r="A7" t="s">
        <v>24</v>
      </c>
      <c r="B7">
        <v>687</v>
      </c>
      <c r="C7">
        <f t="shared" si="0"/>
        <v>1324</v>
      </c>
    </row>
    <row r="8" spans="1:3" x14ac:dyDescent="0.25">
      <c r="A8" t="s">
        <v>25</v>
      </c>
      <c r="B8">
        <v>403</v>
      </c>
      <c r="C8">
        <f t="shared" si="0"/>
        <v>756</v>
      </c>
    </row>
    <row r="9" spans="1:3" x14ac:dyDescent="0.25">
      <c r="A9" t="s">
        <v>26</v>
      </c>
      <c r="B9">
        <v>153</v>
      </c>
      <c r="C9">
        <f t="shared" si="0"/>
        <v>256</v>
      </c>
    </row>
    <row r="11" spans="1:3" x14ac:dyDescent="0.25">
      <c r="A11" t="s">
        <v>28</v>
      </c>
      <c r="B11">
        <v>150</v>
      </c>
    </row>
    <row r="12" spans="1:3" x14ac:dyDescent="0.25">
      <c r="A12" t="s">
        <v>29</v>
      </c>
      <c r="B12">
        <v>100</v>
      </c>
    </row>
    <row r="13" spans="1:3" x14ac:dyDescent="0.25">
      <c r="A13" t="s">
        <v>27</v>
      </c>
      <c r="B13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C8A8-2288-4D00-B2D4-B95A9D425EDB}">
  <dimension ref="A1:E13"/>
  <sheetViews>
    <sheetView workbookViewId="0">
      <selection activeCell="E6" sqref="E6"/>
    </sheetView>
  </sheetViews>
  <sheetFormatPr defaultRowHeight="15" x14ac:dyDescent="0.25"/>
  <cols>
    <col min="1" max="1" width="36.28515625" customWidth="1"/>
    <col min="2" max="2" width="18.140625" customWidth="1"/>
    <col min="3" max="4" width="18.28515625" customWidth="1"/>
    <col min="5" max="5" width="18.42578125" customWidth="1"/>
  </cols>
  <sheetData>
    <row r="1" spans="1:5" x14ac:dyDescent="0.25">
      <c r="A1" t="s">
        <v>31</v>
      </c>
      <c r="B1" t="s">
        <v>40</v>
      </c>
      <c r="C1" t="s">
        <v>41</v>
      </c>
      <c r="D1" t="s">
        <v>46</v>
      </c>
      <c r="E1" t="s">
        <v>45</v>
      </c>
    </row>
    <row r="2" spans="1:5" x14ac:dyDescent="0.25">
      <c r="A2" t="s">
        <v>32</v>
      </c>
      <c r="B2">
        <v>41</v>
      </c>
      <c r="C2">
        <v>11</v>
      </c>
      <c r="D2" s="2">
        <f>(B2+C2)/$B$13</f>
        <v>0.26</v>
      </c>
      <c r="E2">
        <f>IF(D2=100%,"5+",IF(D2&gt;=90%,5,IF(D2&gt;=70%,4,IF(D2&gt;=50%,3,2))))</f>
        <v>2</v>
      </c>
    </row>
    <row r="3" spans="1:5" x14ac:dyDescent="0.25">
      <c r="A3" t="s">
        <v>33</v>
      </c>
      <c r="B3">
        <v>14</v>
      </c>
      <c r="C3">
        <v>65</v>
      </c>
      <c r="D3" s="2">
        <f t="shared" ref="D3:D9" si="0">(B3+C3)/$B$13</f>
        <v>0.39500000000000002</v>
      </c>
      <c r="E3">
        <f t="shared" ref="E3:E9" si="1">IF(D3=100%,"5+",IF(D3&gt;=90%,5,IF(D3&gt;=70%,4,IF(D3&gt;=50%,3,2))))</f>
        <v>2</v>
      </c>
    </row>
    <row r="4" spans="1:5" x14ac:dyDescent="0.25">
      <c r="A4" t="s">
        <v>34</v>
      </c>
      <c r="B4">
        <v>85</v>
      </c>
      <c r="C4">
        <v>0</v>
      </c>
      <c r="D4" s="2">
        <f t="shared" si="0"/>
        <v>0.42499999999999999</v>
      </c>
      <c r="E4">
        <f t="shared" si="1"/>
        <v>2</v>
      </c>
    </row>
    <row r="5" spans="1:5" x14ac:dyDescent="0.25">
      <c r="A5" t="s">
        <v>35</v>
      </c>
      <c r="B5">
        <v>92</v>
      </c>
      <c r="C5">
        <v>5</v>
      </c>
      <c r="D5" s="2">
        <f t="shared" si="0"/>
        <v>0.48499999999999999</v>
      </c>
      <c r="E5">
        <f t="shared" si="1"/>
        <v>2</v>
      </c>
    </row>
    <row r="6" spans="1:5" x14ac:dyDescent="0.25">
      <c r="A6" t="s">
        <v>36</v>
      </c>
      <c r="B6">
        <v>85</v>
      </c>
      <c r="C6">
        <v>80</v>
      </c>
      <c r="D6" s="2">
        <f t="shared" si="0"/>
        <v>0.82499999999999996</v>
      </c>
      <c r="E6">
        <f t="shared" si="1"/>
        <v>4</v>
      </c>
    </row>
    <row r="7" spans="1:5" x14ac:dyDescent="0.25">
      <c r="A7" t="s">
        <v>37</v>
      </c>
      <c r="B7">
        <v>11</v>
      </c>
      <c r="C7">
        <v>57</v>
      </c>
      <c r="D7" s="2">
        <f t="shared" si="0"/>
        <v>0.34</v>
      </c>
      <c r="E7">
        <f t="shared" si="1"/>
        <v>2</v>
      </c>
    </row>
    <row r="8" spans="1:5" x14ac:dyDescent="0.25">
      <c r="A8" t="s">
        <v>38</v>
      </c>
      <c r="B8">
        <v>29</v>
      </c>
      <c r="C8">
        <v>25</v>
      </c>
      <c r="D8" s="2">
        <f t="shared" si="0"/>
        <v>0.27</v>
      </c>
      <c r="E8">
        <f t="shared" si="1"/>
        <v>2</v>
      </c>
    </row>
    <row r="9" spans="1:5" x14ac:dyDescent="0.25">
      <c r="A9" t="s">
        <v>39</v>
      </c>
      <c r="B9">
        <v>48</v>
      </c>
      <c r="C9">
        <v>85</v>
      </c>
      <c r="D9" s="2">
        <f t="shared" si="0"/>
        <v>0.66500000000000004</v>
      </c>
      <c r="E9">
        <f t="shared" si="1"/>
        <v>3</v>
      </c>
    </row>
    <row r="11" spans="1:5" x14ac:dyDescent="0.25">
      <c r="A11" t="s">
        <v>42</v>
      </c>
      <c r="B11">
        <v>100</v>
      </c>
    </row>
    <row r="12" spans="1:5" x14ac:dyDescent="0.25">
      <c r="A12" t="s">
        <v>43</v>
      </c>
      <c r="B12">
        <v>100</v>
      </c>
    </row>
    <row r="13" spans="1:5" x14ac:dyDescent="0.25">
      <c r="A13" t="s">
        <v>44</v>
      </c>
      <c r="B13">
        <f>B11+B12</f>
        <v>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2023-09-18T02:58:23Z</dcterms:created>
  <dcterms:modified xsi:type="dcterms:W3CDTF">2023-09-18T04:28:13Z</dcterms:modified>
</cp:coreProperties>
</file>